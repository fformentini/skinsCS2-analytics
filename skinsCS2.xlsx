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539A2D83-BAED-4462-82D6-9051CE34A7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e de Ski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E52" i="1"/>
  <c r="F52" i="1"/>
  <c r="G52" i="1"/>
  <c r="D53" i="1"/>
  <c r="E53" i="1"/>
  <c r="F53" i="1"/>
  <c r="G53" i="1"/>
  <c r="D35" i="1"/>
  <c r="E35" i="1"/>
  <c r="D34" i="1"/>
  <c r="D33" i="1"/>
  <c r="E34" i="1"/>
  <c r="F35" i="1"/>
  <c r="F34" i="1"/>
  <c r="G35" i="1"/>
  <c r="G34" i="1"/>
  <c r="E33" i="1"/>
  <c r="F33" i="1"/>
  <c r="G33" i="1"/>
  <c r="D32" i="1"/>
  <c r="E32" i="1"/>
  <c r="F32" i="1"/>
  <c r="G32" i="1"/>
  <c r="D22" i="1"/>
  <c r="E22" i="1"/>
  <c r="F22" i="1"/>
  <c r="G22" i="1"/>
  <c r="D21" i="1"/>
  <c r="E21" i="1"/>
  <c r="F21" i="1"/>
  <c r="G21" i="1"/>
  <c r="D20" i="1"/>
  <c r="E20" i="1"/>
  <c r="F20" i="1"/>
  <c r="G20" i="1"/>
  <c r="D19" i="1"/>
  <c r="E19" i="1"/>
  <c r="F19" i="1"/>
  <c r="G19" i="1"/>
  <c r="D18" i="1"/>
  <c r="E18" i="1"/>
  <c r="F18" i="1"/>
  <c r="G18" i="1"/>
  <c r="D17" i="1"/>
  <c r="E17" i="1"/>
  <c r="F17" i="1"/>
  <c r="G17" i="1"/>
  <c r="D16" i="1"/>
  <c r="E16" i="1"/>
  <c r="F16" i="1"/>
  <c r="G16" i="1"/>
  <c r="D15" i="1"/>
  <c r="E15" i="1"/>
  <c r="F15" i="1"/>
  <c r="G15" i="1"/>
  <c r="D14" i="1"/>
  <c r="E14" i="1"/>
  <c r="F14" i="1"/>
  <c r="G14" i="1"/>
  <c r="D13" i="1"/>
  <c r="E13" i="1"/>
  <c r="F13" i="1"/>
  <c r="G13" i="1"/>
  <c r="D12" i="1"/>
  <c r="E12" i="1"/>
  <c r="F12" i="1"/>
  <c r="G12" i="1"/>
  <c r="D11" i="1"/>
  <c r="E11" i="1"/>
  <c r="F11" i="1"/>
  <c r="G11" i="1"/>
  <c r="D10" i="1"/>
  <c r="E10" i="1"/>
  <c r="F10" i="1"/>
  <c r="G10" i="1"/>
  <c r="D9" i="1"/>
  <c r="E9" i="1"/>
  <c r="F9" i="1"/>
  <c r="G9" i="1"/>
  <c r="D8" i="1"/>
  <c r="E8" i="1"/>
  <c r="F8" i="1"/>
  <c r="G8" i="1"/>
  <c r="D7" i="1"/>
  <c r="E7" i="1"/>
  <c r="F7" i="1"/>
  <c r="G7" i="1"/>
  <c r="D6" i="1"/>
  <c r="E6" i="1"/>
  <c r="F6" i="1"/>
  <c r="G6" i="1"/>
  <c r="D5" i="1"/>
  <c r="E5" i="1"/>
  <c r="F5" i="1"/>
  <c r="G5" i="1"/>
  <c r="D4" i="1"/>
  <c r="E4" i="1"/>
  <c r="F4" i="1"/>
  <c r="G4" i="1"/>
  <c r="D3" i="1"/>
  <c r="E3" i="1"/>
  <c r="F3" i="1"/>
  <c r="G3" i="1"/>
  <c r="D2" i="1"/>
  <c r="E2" i="1"/>
  <c r="F2" i="1"/>
  <c r="G2" i="1"/>
  <c r="D24" i="1"/>
  <c r="E24" i="1"/>
  <c r="F24" i="1"/>
  <c r="G24" i="1"/>
  <c r="D25" i="1"/>
  <c r="E25" i="1"/>
  <c r="F25" i="1"/>
  <c r="G25" i="1"/>
  <c r="G101" i="1"/>
  <c r="D101" i="1"/>
  <c r="E101" i="1"/>
  <c r="F101" i="1"/>
  <c r="G100" i="1"/>
  <c r="D100" i="1"/>
  <c r="E100" i="1"/>
  <c r="F100" i="1"/>
  <c r="G99" i="1"/>
  <c r="D99" i="1"/>
  <c r="E99" i="1"/>
  <c r="F99" i="1"/>
  <c r="G98" i="1"/>
  <c r="D98" i="1"/>
  <c r="E98" i="1"/>
  <c r="F98" i="1"/>
  <c r="G97" i="1"/>
  <c r="D97" i="1"/>
  <c r="E97" i="1"/>
  <c r="F97" i="1"/>
  <c r="G96" i="1"/>
  <c r="D96" i="1"/>
  <c r="E96" i="1"/>
  <c r="F96" i="1"/>
  <c r="G95" i="1"/>
  <c r="D95" i="1"/>
  <c r="E95" i="1"/>
  <c r="F95" i="1"/>
  <c r="G94" i="1"/>
  <c r="D94" i="1"/>
  <c r="E94" i="1"/>
  <c r="F94" i="1"/>
  <c r="G93" i="1"/>
  <c r="D93" i="1"/>
  <c r="E93" i="1"/>
  <c r="F93" i="1"/>
  <c r="G92" i="1"/>
  <c r="D92" i="1"/>
  <c r="E92" i="1"/>
  <c r="F92" i="1"/>
  <c r="G91" i="1"/>
  <c r="D91" i="1"/>
  <c r="E91" i="1"/>
  <c r="F91" i="1"/>
  <c r="G90" i="1"/>
  <c r="D90" i="1"/>
  <c r="E90" i="1"/>
  <c r="F90" i="1"/>
  <c r="G89" i="1"/>
  <c r="D89" i="1"/>
  <c r="E89" i="1"/>
  <c r="F89" i="1"/>
  <c r="G88" i="1"/>
  <c r="D88" i="1"/>
  <c r="E88" i="1"/>
  <c r="F88" i="1"/>
  <c r="G87" i="1"/>
  <c r="D87" i="1"/>
  <c r="E87" i="1"/>
  <c r="F87" i="1"/>
  <c r="G86" i="1"/>
  <c r="D86" i="1"/>
  <c r="E86" i="1"/>
  <c r="F86" i="1"/>
  <c r="G85" i="1"/>
  <c r="D85" i="1"/>
  <c r="E85" i="1"/>
  <c r="F85" i="1"/>
  <c r="G84" i="1"/>
  <c r="D84" i="1"/>
  <c r="E84" i="1"/>
  <c r="F84" i="1"/>
  <c r="G83" i="1"/>
  <c r="D83" i="1"/>
  <c r="E83" i="1"/>
  <c r="F83" i="1"/>
  <c r="G82" i="1"/>
  <c r="D82" i="1"/>
  <c r="E82" i="1"/>
  <c r="F82" i="1"/>
  <c r="G81" i="1"/>
  <c r="D81" i="1"/>
  <c r="E81" i="1"/>
  <c r="F81" i="1"/>
  <c r="G80" i="1"/>
  <c r="D80" i="1"/>
  <c r="E80" i="1"/>
  <c r="F80" i="1"/>
  <c r="G79" i="1"/>
  <c r="D79" i="1"/>
  <c r="E79" i="1"/>
  <c r="F79" i="1"/>
  <c r="G78" i="1"/>
  <c r="D78" i="1"/>
  <c r="E78" i="1"/>
  <c r="F78" i="1"/>
  <c r="G77" i="1"/>
  <c r="D77" i="1"/>
  <c r="E77" i="1"/>
  <c r="F77" i="1"/>
  <c r="D76" i="1"/>
  <c r="E76" i="1"/>
  <c r="G75" i="1"/>
  <c r="D75" i="1"/>
  <c r="E75" i="1"/>
  <c r="F75" i="1"/>
  <c r="G74" i="1"/>
  <c r="D74" i="1"/>
  <c r="E74" i="1"/>
  <c r="F74" i="1"/>
  <c r="D73" i="1"/>
  <c r="E73" i="1"/>
  <c r="F73" i="1"/>
  <c r="G73" i="1" s="1"/>
  <c r="D72" i="1"/>
  <c r="E72" i="1"/>
  <c r="F72" i="1"/>
  <c r="G72" i="1"/>
  <c r="D71" i="1"/>
  <c r="E71" i="1"/>
  <c r="F71" i="1"/>
  <c r="G71" i="1"/>
  <c r="D70" i="1"/>
  <c r="E70" i="1"/>
  <c r="F70" i="1"/>
  <c r="G70" i="1"/>
  <c r="D69" i="1"/>
  <c r="E69" i="1"/>
  <c r="F69" i="1"/>
  <c r="G69" i="1"/>
  <c r="D68" i="1"/>
  <c r="E68" i="1"/>
  <c r="F68" i="1"/>
  <c r="G68" i="1"/>
  <c r="D67" i="1"/>
  <c r="E67" i="1"/>
  <c r="F67" i="1"/>
  <c r="G67" i="1"/>
  <c r="D66" i="1"/>
  <c r="E66" i="1"/>
  <c r="F66" i="1"/>
  <c r="G66" i="1"/>
  <c r="D65" i="1"/>
  <c r="E65" i="1"/>
  <c r="F65" i="1"/>
  <c r="G65" i="1"/>
  <c r="D64" i="1"/>
  <c r="E64" i="1"/>
  <c r="F64" i="1"/>
  <c r="G64" i="1"/>
  <c r="D63" i="1"/>
  <c r="E63" i="1"/>
  <c r="F63" i="1"/>
  <c r="G63" i="1"/>
  <c r="D62" i="1"/>
  <c r="E62" i="1"/>
  <c r="F62" i="1"/>
  <c r="G62" i="1"/>
  <c r="D61" i="1"/>
  <c r="E61" i="1"/>
  <c r="F61" i="1"/>
  <c r="G61" i="1"/>
  <c r="D60" i="1"/>
  <c r="E60" i="1"/>
  <c r="F60" i="1"/>
  <c r="G60" i="1"/>
  <c r="D59" i="1"/>
  <c r="E59" i="1"/>
  <c r="F59" i="1"/>
  <c r="G59" i="1"/>
  <c r="D58" i="1"/>
  <c r="E58" i="1"/>
  <c r="F58" i="1"/>
  <c r="G58" i="1"/>
  <c r="D57" i="1"/>
  <c r="E57" i="1"/>
  <c r="F57" i="1"/>
  <c r="G57" i="1"/>
  <c r="D56" i="1"/>
  <c r="E56" i="1"/>
  <c r="F56" i="1"/>
  <c r="G56" i="1"/>
  <c r="D55" i="1"/>
  <c r="E55" i="1"/>
  <c r="F55" i="1"/>
  <c r="G55" i="1"/>
  <c r="D54" i="1"/>
  <c r="E54" i="1"/>
  <c r="F54" i="1"/>
  <c r="G54" i="1"/>
  <c r="D51" i="1"/>
  <c r="E51" i="1"/>
  <c r="F51" i="1"/>
  <c r="G51" i="1"/>
  <c r="D50" i="1"/>
  <c r="E50" i="1"/>
  <c r="F50" i="1"/>
  <c r="G50" i="1"/>
  <c r="D49" i="1"/>
  <c r="E49" i="1"/>
  <c r="F49" i="1"/>
  <c r="G49" i="1"/>
  <c r="D48" i="1"/>
  <c r="E48" i="1"/>
  <c r="F48" i="1"/>
  <c r="G48" i="1"/>
  <c r="D47" i="1"/>
  <c r="E47" i="1"/>
  <c r="F47" i="1"/>
  <c r="G47" i="1"/>
  <c r="D46" i="1"/>
  <c r="E46" i="1"/>
  <c r="F46" i="1"/>
  <c r="G46" i="1"/>
  <c r="D45" i="1"/>
  <c r="E45" i="1"/>
  <c r="F45" i="1"/>
  <c r="G45" i="1"/>
  <c r="D44" i="1"/>
  <c r="E44" i="1"/>
  <c r="F44" i="1"/>
  <c r="G44" i="1"/>
  <c r="D43" i="1"/>
  <c r="E43" i="1"/>
  <c r="F43" i="1"/>
  <c r="G43" i="1"/>
  <c r="D42" i="1"/>
  <c r="E42" i="1"/>
  <c r="F42" i="1"/>
  <c r="G42" i="1"/>
  <c r="D41" i="1"/>
  <c r="E41" i="1"/>
  <c r="F41" i="1"/>
  <c r="G41" i="1"/>
  <c r="D40" i="1"/>
  <c r="E40" i="1"/>
  <c r="F40" i="1"/>
  <c r="G40" i="1"/>
  <c r="D39" i="1"/>
  <c r="E39" i="1"/>
  <c r="F39" i="1"/>
  <c r="G39" i="1"/>
  <c r="D38" i="1"/>
  <c r="E38" i="1"/>
  <c r="F38" i="1"/>
  <c r="G38" i="1"/>
  <c r="D37" i="1"/>
  <c r="E37" i="1"/>
  <c r="F37" i="1"/>
  <c r="G37" i="1"/>
  <c r="D36" i="1"/>
  <c r="E36" i="1"/>
  <c r="F36" i="1"/>
  <c r="G36" i="1"/>
  <c r="D28" i="1"/>
  <c r="E28" i="1"/>
  <c r="F28" i="1"/>
  <c r="G28" i="1"/>
  <c r="D23" i="1"/>
  <c r="E23" i="1"/>
  <c r="F23" i="1"/>
  <c r="G23" i="1"/>
  <c r="D31" i="1"/>
  <c r="E31" i="1"/>
  <c r="F31" i="1"/>
  <c r="G31" i="1"/>
  <c r="D30" i="1"/>
  <c r="E30" i="1"/>
  <c r="F30" i="1"/>
  <c r="G30" i="1"/>
  <c r="D29" i="1"/>
  <c r="E29" i="1"/>
  <c r="F29" i="1"/>
  <c r="G29" i="1"/>
  <c r="D27" i="1"/>
  <c r="E27" i="1"/>
  <c r="F27" i="1"/>
  <c r="G27" i="1"/>
  <c r="D26" i="1"/>
  <c r="E26" i="1"/>
  <c r="F26" i="1"/>
  <c r="G26" i="1"/>
  <c r="F76" i="1"/>
  <c r="M71" i="1" s="1"/>
  <c r="G76" i="1"/>
</calcChain>
</file>

<file path=xl/sharedStrings.xml><?xml version="1.0" encoding="utf-8"?>
<sst xmlns="http://schemas.openxmlformats.org/spreadsheetml/2006/main" count="80" uniqueCount="68">
  <si>
    <t>Nome da Skin</t>
  </si>
  <si>
    <t>Preço de Compra (R$)</t>
  </si>
  <si>
    <t>Preço de Venda Bruto (R$)</t>
  </si>
  <si>
    <t>Taxa (6%)</t>
  </si>
  <si>
    <t>Receita Líquida (R$)</t>
  </si>
  <si>
    <t>Lucro (R$)</t>
  </si>
  <si>
    <t>ROI (%)</t>
  </si>
  <si>
    <t>Survival marble fade FN</t>
  </si>
  <si>
    <t>Survival rust coat BS 0.51</t>
  </si>
  <si>
    <t>Ak inheritance FT 0.28</t>
  </si>
  <si>
    <t>Sticker Fallen gold</t>
  </si>
  <si>
    <t>Sticker Fallen holo</t>
  </si>
  <si>
    <t>Survival rust coat BS 0.69</t>
  </si>
  <si>
    <t>Survival rust coat BS 0.61</t>
  </si>
  <si>
    <t>Survival marble fade FN 0.01</t>
  </si>
  <si>
    <t>Survival rust coat 0.60</t>
  </si>
  <si>
    <t>Nomad rust coat 0.65</t>
  </si>
  <si>
    <t>M4a1 vaporwave ft</t>
  </si>
  <si>
    <t>M4a4 polysoup ft</t>
  </si>
  <si>
    <t>Awp Redline ft st 0.22</t>
  </si>
  <si>
    <t>Souvenir Charm Strikes back</t>
  </si>
  <si>
    <t>Ak inheritance FT 0.18</t>
  </si>
  <si>
    <t>mac neon rider ft</t>
  </si>
  <si>
    <t>Mp9 starlight protector mw</t>
  </si>
  <si>
    <t>famas bad trip mw</t>
  </si>
  <si>
    <t>ssg dragonfire mw</t>
  </si>
  <si>
    <t>m4a1 cyrex</t>
  </si>
  <si>
    <t>mac neon rider mw</t>
  </si>
  <si>
    <t>bizon anubis fn</t>
  </si>
  <si>
    <t>ssg dragonfire ft</t>
  </si>
  <si>
    <t>famas mecha ft 6x</t>
  </si>
  <si>
    <t>awp man o war mw</t>
  </si>
  <si>
    <t>awp redline ft st 0.23</t>
  </si>
  <si>
    <t>ak the empress mw</t>
  </si>
  <si>
    <t>p250 see ya later</t>
  </si>
  <si>
    <t>eagle conspiracy</t>
  </si>
  <si>
    <t>p90 trigon</t>
  </si>
  <si>
    <t>m4a1 leaded glass 3x</t>
  </si>
  <si>
    <t>p250 muertos</t>
  </si>
  <si>
    <t>berettas melondrama 2x</t>
  </si>
  <si>
    <t>eagle printstream</t>
  </si>
  <si>
    <t xml:space="preserve">galil eco ft </t>
  </si>
  <si>
    <t>bayonet doppler phase 2</t>
  </si>
  <si>
    <t>awp cmyk ft 0.15</t>
  </si>
  <si>
    <t>falchion lore ft</t>
  </si>
  <si>
    <t>m4a1 vaporwave mw</t>
  </si>
  <si>
    <t>M9 lore ft</t>
  </si>
  <si>
    <t>ak nightwish ft</t>
  </si>
  <si>
    <t>fallen gold 2025 austin</t>
  </si>
  <si>
    <t>awp black nile ft</t>
  </si>
  <si>
    <t>fallen holo shanghai x3</t>
  </si>
  <si>
    <t>p250 apeps curse</t>
  </si>
  <si>
    <t>awp black nile fn x3</t>
  </si>
  <si>
    <t>famas waters nephtys</t>
  </si>
  <si>
    <t>Gloves Crimson web ft</t>
  </si>
  <si>
    <t>Bayonet Marble fade</t>
  </si>
  <si>
    <t>Falchion lore mw</t>
  </si>
  <si>
    <t>glock axia fn</t>
  </si>
  <si>
    <t>ak inheritance ft</t>
  </si>
  <si>
    <t>classic Crimson web</t>
  </si>
  <si>
    <t>eagle heat treated</t>
  </si>
  <si>
    <t xml:space="preserve">Bayonet Doppler Phase 2 </t>
  </si>
  <si>
    <t>Mp7 fade</t>
  </si>
  <si>
    <t>m4a4 temukau</t>
  </si>
  <si>
    <t>gloves mogul ft</t>
  </si>
  <si>
    <t>LUCRO TOTAL</t>
  </si>
  <si>
    <t>Eagle cobalt disruption</t>
  </si>
  <si>
    <t>usp printstream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</si>
</sst>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64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41" workbookViewId="0">
      <selection activeCell="B76" sqref="B76"/>
    </sheetView>
  </sheetViews>
  <sheetFormatPr defaultRowHeight="15"/>
  <cols>
    <col min="1" max="1" width="25" customWidth="1"/>
    <col min="2" max="2" width="20" customWidth="1"/>
    <col min="3" max="3" width="25" customWidth="1"/>
    <col min="4" max="4" width="15" customWidth="1"/>
    <col min="5" max="5" width="22" customWidth="1"/>
    <col min="6" max="6" width="15" customWidth="1"/>
    <col min="7" max="7" width="10" customWidth="1"/>
    <col min="12" max="12" width="13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>
      <c r="A2" s="1" t="s">
        <v>7</v>
      </c>
      <c r="B2">
        <v>1215</v>
      </c>
      <c r="C2">
        <v>1500</v>
      </c>
      <c r="D2">
        <f>IF(C2&gt;0, C2*0.06, "")</f>
        <v>90</v>
      </c>
      <c r="E2">
        <f>IF(C2&gt;0, C2-D2, "")</f>
        <v>1410</v>
      </c>
      <c r="F2">
        <f>IF(AND(B2&gt;0,E2&gt;0), E2-B2, "")</f>
        <v>195</v>
      </c>
      <c r="G2">
        <f>IF(B2&gt;0, ROUND(F2/B2*100, 0), "")</f>
        <v>16</v>
      </c>
    </row>
    <row r="3" spans="1:14">
      <c r="A3" t="s">
        <v>8</v>
      </c>
      <c r="B3">
        <v>490</v>
      </c>
      <c r="C3">
        <v>600</v>
      </c>
      <c r="D3">
        <f>IF(C3&gt;0, C3*0.06, "")</f>
        <v>36</v>
      </c>
      <c r="E3">
        <f>IF(C3&gt;0, C3-D3, "")</f>
        <v>564</v>
      </c>
      <c r="F3">
        <f>IF(AND(B3&gt;0,E3&gt;0), E3-B3, "")</f>
        <v>74</v>
      </c>
      <c r="G3">
        <f>IF(B3&gt;0, ROUND(F3/B3*100, 0), "")</f>
        <v>15</v>
      </c>
    </row>
    <row r="4" spans="1:14">
      <c r="A4" t="s">
        <v>9</v>
      </c>
      <c r="B4">
        <v>315</v>
      </c>
      <c r="C4">
        <v>385</v>
      </c>
      <c r="D4">
        <f>IF(C4&gt;0, C4*0.06, "")</f>
        <v>23.099999999999998</v>
      </c>
      <c r="E4">
        <f>IF(C4&gt;0, C4-D4, "")</f>
        <v>361.9</v>
      </c>
      <c r="F4">
        <f>IF(AND(B4&gt;0,E4&gt;0), E4-B4, "")</f>
        <v>46.899999999999977</v>
      </c>
      <c r="G4" s="2">
        <f>IF(B4&gt;0, F4/B4*100, "")</f>
        <v>14.888888888888882</v>
      </c>
    </row>
    <row r="5" spans="1:14">
      <c r="A5" s="1" t="s">
        <v>10</v>
      </c>
      <c r="B5">
        <v>42</v>
      </c>
      <c r="C5">
        <v>94</v>
      </c>
      <c r="D5">
        <f>IF(C5&gt;0, C5*0.06, "")</f>
        <v>5.64</v>
      </c>
      <c r="E5">
        <f>IF(C5&gt;0, C5-D5, "")</f>
        <v>88.36</v>
      </c>
      <c r="F5">
        <f>IF(AND(B5&gt;0,E5&gt;0), E5-B5, "")</f>
        <v>46.36</v>
      </c>
      <c r="G5" s="2">
        <f>IF(B5&gt;0, F5/B5*100, "")</f>
        <v>110.38095238095238</v>
      </c>
      <c r="N5" s="4"/>
    </row>
    <row r="6" spans="1:14">
      <c r="A6" t="s">
        <v>10</v>
      </c>
      <c r="B6">
        <v>42</v>
      </c>
      <c r="C6">
        <v>94</v>
      </c>
      <c r="D6">
        <f>IF(C6&gt;0, C6*0.06, "")</f>
        <v>5.64</v>
      </c>
      <c r="E6">
        <f>IF(C6&gt;0, C6-D6, "")</f>
        <v>88.36</v>
      </c>
      <c r="F6">
        <f>IF(AND(B6&gt;0,E6&gt;0), E6-B6, "")</f>
        <v>46.36</v>
      </c>
      <c r="G6" s="2">
        <f>IF(B6&gt;0, F6/B6*100, "")</f>
        <v>110.38095238095238</v>
      </c>
      <c r="N6" s="4"/>
    </row>
    <row r="7" spans="1:14">
      <c r="A7" t="s">
        <v>10</v>
      </c>
      <c r="B7">
        <v>43</v>
      </c>
      <c r="C7">
        <v>96</v>
      </c>
      <c r="D7">
        <f>IF(C7&gt;0, C7*0.06, "")</f>
        <v>5.76</v>
      </c>
      <c r="E7">
        <f>IF(C7&gt;0, C7-D7, "")</f>
        <v>90.24</v>
      </c>
      <c r="F7">
        <f>IF(AND(B7&gt;0,E7&gt;0), E7-B7, "")</f>
        <v>47.239999999999995</v>
      </c>
      <c r="G7" s="2">
        <f>IF(B7&gt;0, F7/B7*100, "")</f>
        <v>109.86046511627904</v>
      </c>
    </row>
    <row r="8" spans="1:14">
      <c r="A8" t="s">
        <v>11</v>
      </c>
      <c r="B8">
        <v>24</v>
      </c>
      <c r="C8">
        <v>50</v>
      </c>
      <c r="D8">
        <f>IF(C8&gt;0, C8*0.06, "")</f>
        <v>3</v>
      </c>
      <c r="E8">
        <f>IF(C8&gt;0, C8-D8, "")</f>
        <v>47</v>
      </c>
      <c r="F8">
        <f>IF(AND(B8&gt;0,E8&gt;0), E8-B8, "")</f>
        <v>23</v>
      </c>
      <c r="G8" s="2">
        <f>IF(B8&gt;0, F8/B8*100, "")</f>
        <v>95.833333333333343</v>
      </c>
    </row>
    <row r="9" spans="1:14">
      <c r="A9" s="3" t="s">
        <v>11</v>
      </c>
      <c r="B9">
        <v>24</v>
      </c>
      <c r="C9">
        <v>50</v>
      </c>
      <c r="D9">
        <f>IF(C9&gt;0, C9*0.06, "")</f>
        <v>3</v>
      </c>
      <c r="E9">
        <f>IF(C9&gt;0, C9-D9, "")</f>
        <v>47</v>
      </c>
      <c r="F9">
        <f>IF(AND(B9&gt;0,E9&gt;0), E9-B9, "")</f>
        <v>23</v>
      </c>
      <c r="G9" s="2">
        <f>IF(B9&gt;0, F9/B9*100, "")</f>
        <v>95.833333333333343</v>
      </c>
    </row>
    <row r="10" spans="1:14">
      <c r="A10" s="3" t="s">
        <v>11</v>
      </c>
      <c r="B10">
        <v>24</v>
      </c>
      <c r="C10">
        <v>50</v>
      </c>
      <c r="D10">
        <f>IF(C10&gt;0, C10*0.06, "")</f>
        <v>3</v>
      </c>
      <c r="E10">
        <f>IF(C10&gt;0, C10-D10, "")</f>
        <v>47</v>
      </c>
      <c r="F10">
        <f>IF(AND(B10&gt;0,E10&gt;0), E10-B10, "")</f>
        <v>23</v>
      </c>
      <c r="G10" s="2">
        <f>IF(B10&gt;0, F10/B10*100, "")</f>
        <v>95.833333333333343</v>
      </c>
    </row>
    <row r="11" spans="1:14">
      <c r="A11" s="3" t="s">
        <v>11</v>
      </c>
      <c r="B11">
        <v>25</v>
      </c>
      <c r="C11">
        <v>52</v>
      </c>
      <c r="D11">
        <f>IF(C11&gt;0, C11*0.06, "")</f>
        <v>3.12</v>
      </c>
      <c r="E11" s="2">
        <f>IF(C11&gt;0, C11-D11, "")</f>
        <v>48.88</v>
      </c>
      <c r="F11" s="2">
        <f>IF(AND(B11&gt;0,E11&gt;0), E11-B11, "")</f>
        <v>23.880000000000003</v>
      </c>
      <c r="G11" s="2">
        <f>IF(B11&gt;0, F11/B11*100, "")</f>
        <v>95.52000000000001</v>
      </c>
    </row>
    <row r="12" spans="1:14">
      <c r="A12" t="s">
        <v>12</v>
      </c>
      <c r="B12">
        <v>470</v>
      </c>
      <c r="C12">
        <v>650</v>
      </c>
      <c r="D12">
        <f>IF(C12&gt;0, C12*0.06, "")</f>
        <v>39</v>
      </c>
      <c r="E12">
        <f>IF(C12&gt;0, C12-D12, "")</f>
        <v>611</v>
      </c>
      <c r="F12">
        <f>IF(AND(B12&gt;0,E12&gt;0), E12-B12, "")</f>
        <v>141</v>
      </c>
      <c r="G12">
        <f>IF(B12&gt;0, F12/B12*100, "")</f>
        <v>30</v>
      </c>
    </row>
    <row r="13" spans="1:14">
      <c r="A13" t="s">
        <v>13</v>
      </c>
      <c r="B13">
        <v>470</v>
      </c>
      <c r="C13">
        <v>580</v>
      </c>
      <c r="D13">
        <f>IF(C13&gt;0, C13*0.06, "")</f>
        <v>34.799999999999997</v>
      </c>
      <c r="E13">
        <f>IF(C13&gt;0, C13-D13, "")</f>
        <v>545.20000000000005</v>
      </c>
      <c r="F13">
        <f>IF(AND(B13&gt;0,E13&gt;0), E13-B13, "")</f>
        <v>75.200000000000045</v>
      </c>
      <c r="G13">
        <f>IF(B13&gt;0, F13/B13*100, "")</f>
        <v>16.000000000000007</v>
      </c>
    </row>
    <row r="14" spans="1:14">
      <c r="A14" t="s">
        <v>14</v>
      </c>
      <c r="B14">
        <v>1220</v>
      </c>
      <c r="C14">
        <v>1450</v>
      </c>
      <c r="D14">
        <f>IF(C14 &gt;0, C14 *0.06, "")</f>
        <v>87</v>
      </c>
      <c r="E14">
        <f>IF(C14 &gt;0, C14 -D14, "")</f>
        <v>1363</v>
      </c>
      <c r="F14">
        <f>IF(AND(B14&gt;0,E14&gt;0), E14-B14, "")</f>
        <v>143</v>
      </c>
      <c r="G14" s="2">
        <f>IF(B14&gt;0, F14/B14*100, "")</f>
        <v>11.721311475409836</v>
      </c>
    </row>
    <row r="15" spans="1:14">
      <c r="A15" t="s">
        <v>11</v>
      </c>
      <c r="B15">
        <v>35</v>
      </c>
      <c r="C15">
        <v>90</v>
      </c>
      <c r="D15">
        <f>IF(C15 &gt;0, C15 *0.06, "")</f>
        <v>5.3999999999999995</v>
      </c>
      <c r="E15">
        <f>IF(C15 &gt;0, C15 -D15, "")</f>
        <v>84.6</v>
      </c>
      <c r="F15">
        <f>IF(AND(B15&gt;0,E15&gt;0), E15-B15, "")</f>
        <v>49.599999999999994</v>
      </c>
      <c r="G15" s="2">
        <f>IF(B15&gt;0, F15/B15*100, "")</f>
        <v>141.71428571428569</v>
      </c>
    </row>
    <row r="16" spans="1:14">
      <c r="A16" t="s">
        <v>15</v>
      </c>
      <c r="B16">
        <v>485</v>
      </c>
      <c r="C16">
        <v>550</v>
      </c>
      <c r="D16">
        <f>IF(C16 &gt;0, C16 *0.06, "")</f>
        <v>33</v>
      </c>
      <c r="E16">
        <f>IF(C16 &gt;0, C16 -D16, "")</f>
        <v>517</v>
      </c>
      <c r="F16">
        <f>IF(AND(B16&gt;0,E16&gt;0), E16-B16, "")</f>
        <v>32</v>
      </c>
      <c r="G16" s="2">
        <f>IF(B16&gt;0, F16/B16*100, "")</f>
        <v>6.5979381443298974</v>
      </c>
    </row>
    <row r="17" spans="1:7">
      <c r="A17" t="s">
        <v>16</v>
      </c>
      <c r="B17">
        <v>980</v>
      </c>
      <c r="C17">
        <v>1080</v>
      </c>
      <c r="D17">
        <f>IF(C17 &gt;0, C17 *0.06, "")</f>
        <v>64.8</v>
      </c>
      <c r="E17">
        <f>IF(C17 &gt;0, C17 -D17, "")</f>
        <v>1015.2</v>
      </c>
      <c r="F17">
        <f>IF(AND(B17&gt;0,E17&gt;0), E17-B17, "")</f>
        <v>35.200000000000045</v>
      </c>
      <c r="G17" s="2">
        <f>IF(B17&gt;0, F17/B17*100, "")</f>
        <v>3.5918367346938824</v>
      </c>
    </row>
    <row r="18" spans="1:7">
      <c r="A18" t="s">
        <v>17</v>
      </c>
      <c r="B18">
        <v>350</v>
      </c>
      <c r="C18">
        <v>418</v>
      </c>
      <c r="D18">
        <f>IF(C18 &gt;0, C18 *0.06, "")</f>
        <v>25.08</v>
      </c>
      <c r="E18">
        <f>IF(C18 &gt;0, C18 -D18, "")</f>
        <v>392.92</v>
      </c>
      <c r="F18">
        <f>IF(AND(B18&gt;0,E18&gt;0), E18-B18, "")</f>
        <v>42.920000000000016</v>
      </c>
      <c r="G18" s="2">
        <f>IF(B18&gt;0, F18/B18*100, "")</f>
        <v>12.262857142857147</v>
      </c>
    </row>
    <row r="19" spans="1:7">
      <c r="A19" t="s">
        <v>18</v>
      </c>
      <c r="B19">
        <v>35</v>
      </c>
      <c r="C19">
        <v>60</v>
      </c>
      <c r="D19">
        <f>IF(C19 &gt;0, C19 *0.06, "")</f>
        <v>3.5999999999999996</v>
      </c>
      <c r="E19">
        <f>IF(C19 &gt;0, C19 -D19, "")</f>
        <v>56.4</v>
      </c>
      <c r="F19">
        <f>IF(AND(B19&gt;0,E19&gt;0), E19-B19, "")</f>
        <v>21.4</v>
      </c>
      <c r="G19" s="2">
        <f>IF(B19&gt;0, F19/B19*100, "")</f>
        <v>61.142857142857146</v>
      </c>
    </row>
    <row r="20" spans="1:7">
      <c r="A20" t="s">
        <v>19</v>
      </c>
      <c r="B20">
        <v>685</v>
      </c>
      <c r="C20">
        <v>800</v>
      </c>
      <c r="D20">
        <f>IF(C20 &gt;0, C20 *0.06, "")</f>
        <v>48</v>
      </c>
      <c r="E20">
        <f>IF(C20 &gt;0, C20 -D20, "")</f>
        <v>752</v>
      </c>
      <c r="F20">
        <f>IF(AND(B20&gt;0,E20&gt;0), E20-B20, "")</f>
        <v>67</v>
      </c>
      <c r="G20" s="2">
        <f>IF(B20&gt;0, F20/B20*100, "")</f>
        <v>9.7810218978102181</v>
      </c>
    </row>
    <row r="21" spans="1:7">
      <c r="A21" t="s">
        <v>20</v>
      </c>
      <c r="B21">
        <v>200</v>
      </c>
      <c r="C21">
        <v>270</v>
      </c>
      <c r="D21">
        <f>IF(C21 &gt;0, C21 *0.06, "")</f>
        <v>16.2</v>
      </c>
      <c r="E21">
        <f>IF(C21 &gt;0, C21-D21, "")</f>
        <v>253.8</v>
      </c>
      <c r="F21">
        <f>IF(AND(B21&gt;0,E21&gt;0), E21-B21, "")</f>
        <v>53.800000000000011</v>
      </c>
      <c r="G21" s="2">
        <f>IF(B21&gt;0, F21/B21*100, "")</f>
        <v>26.900000000000006</v>
      </c>
    </row>
    <row r="22" spans="1:7">
      <c r="A22" t="s">
        <v>21</v>
      </c>
      <c r="B22">
        <v>350</v>
      </c>
      <c r="C22">
        <v>400</v>
      </c>
      <c r="D22">
        <f>IF(C22 &gt;0, C22 *0.06, "")</f>
        <v>24</v>
      </c>
      <c r="E22">
        <f>IF(C22 &gt;0, C22-D22, "")</f>
        <v>376</v>
      </c>
      <c r="F22">
        <f>IF(AND(B22&gt;0,E22&gt;0), E22-B22, "")</f>
        <v>26</v>
      </c>
      <c r="G22" s="2">
        <f>IF(B22&gt;0, F22/B22*100, "")</f>
        <v>7.4285714285714288</v>
      </c>
    </row>
    <row r="23" spans="1:7">
      <c r="A23" t="s">
        <v>22</v>
      </c>
      <c r="B23">
        <v>50</v>
      </c>
      <c r="C23">
        <v>320</v>
      </c>
      <c r="D23">
        <f>C23*6%</f>
        <v>19.2</v>
      </c>
      <c r="E23">
        <f>C23-D23</f>
        <v>300.8</v>
      </c>
      <c r="F23">
        <f>E23-B23</f>
        <v>250.8</v>
      </c>
      <c r="G23" s="2">
        <f>IF(B23&gt;0,(F23/B23)*100,0)</f>
        <v>501.6</v>
      </c>
    </row>
    <row r="24" spans="1:7">
      <c r="A24" s="1" t="s">
        <v>23</v>
      </c>
      <c r="B24">
        <v>50</v>
      </c>
      <c r="C24">
        <v>300</v>
      </c>
      <c r="D24">
        <f>C24*6%</f>
        <v>18</v>
      </c>
      <c r="E24">
        <f>C24-D24</f>
        <v>282</v>
      </c>
      <c r="F24">
        <f>E24-B24</f>
        <v>232</v>
      </c>
      <c r="G24">
        <f>IF(B24&gt;0,(F24/B24)*100,0)</f>
        <v>463.99999999999994</v>
      </c>
    </row>
    <row r="25" spans="1:7">
      <c r="A25" t="s">
        <v>24</v>
      </c>
      <c r="B25">
        <v>40</v>
      </c>
      <c r="C25">
        <v>300</v>
      </c>
      <c r="D25">
        <f>C25*6%</f>
        <v>18</v>
      </c>
      <c r="E25">
        <f>C25-D25</f>
        <v>282</v>
      </c>
      <c r="F25">
        <f>E25-B25</f>
        <v>242</v>
      </c>
      <c r="G25">
        <f>IF(B25&gt;0,(F25/B25)*100,0)</f>
        <v>605</v>
      </c>
    </row>
    <row r="26" spans="1:7">
      <c r="A26" t="s">
        <v>25</v>
      </c>
      <c r="B26">
        <v>150</v>
      </c>
      <c r="C26">
        <v>300</v>
      </c>
      <c r="D26">
        <f>C26*6%</f>
        <v>18</v>
      </c>
      <c r="E26">
        <f>C26-D26</f>
        <v>282</v>
      </c>
      <c r="F26">
        <f>E26-B26</f>
        <v>132</v>
      </c>
      <c r="G26">
        <f>IF(B26&gt;0,(F26/B26)*100,0)</f>
        <v>88</v>
      </c>
    </row>
    <row r="27" spans="1:7">
      <c r="A27" t="s">
        <v>26</v>
      </c>
      <c r="B27">
        <v>250</v>
      </c>
      <c r="C27">
        <v>600</v>
      </c>
      <c r="D27">
        <f>C27*6%</f>
        <v>36</v>
      </c>
      <c r="E27">
        <f>C27-D27</f>
        <v>564</v>
      </c>
      <c r="F27">
        <f>E27-B27</f>
        <v>314</v>
      </c>
      <c r="G27" s="2">
        <f>IF(B27&gt;0,(F27/B27)*100,0)</f>
        <v>125.6</v>
      </c>
    </row>
    <row r="28" spans="1:7">
      <c r="A28" t="s">
        <v>27</v>
      </c>
      <c r="B28">
        <v>60</v>
      </c>
      <c r="C28">
        <v>320</v>
      </c>
      <c r="D28">
        <f>C28*6%</f>
        <v>19.2</v>
      </c>
      <c r="E28">
        <f>C28-D28</f>
        <v>300.8</v>
      </c>
      <c r="F28">
        <f>E28-B28</f>
        <v>240.8</v>
      </c>
      <c r="G28" s="2">
        <f>IF(B28&gt;0,(F28/B28)*100,0)</f>
        <v>401.33333333333337</v>
      </c>
    </row>
    <row r="29" spans="1:7">
      <c r="A29" t="s">
        <v>28</v>
      </c>
      <c r="B29">
        <v>130</v>
      </c>
      <c r="C29">
        <v>500</v>
      </c>
      <c r="D29">
        <f>C29*6%</f>
        <v>30</v>
      </c>
      <c r="E29">
        <f>C29-D29</f>
        <v>470</v>
      </c>
      <c r="F29">
        <f>E29-B29</f>
        <v>340</v>
      </c>
      <c r="G29" s="2">
        <f>IF(B29&gt;0,(F29/B29)*100,0)</f>
        <v>261.53846153846155</v>
      </c>
    </row>
    <row r="30" spans="1:7">
      <c r="A30" t="s">
        <v>28</v>
      </c>
      <c r="B30">
        <v>130</v>
      </c>
      <c r="C30">
        <v>500</v>
      </c>
      <c r="D30">
        <f>C30*6%</f>
        <v>30</v>
      </c>
      <c r="E30">
        <f>C30-D30</f>
        <v>470</v>
      </c>
      <c r="F30">
        <f>E30-B30</f>
        <v>340</v>
      </c>
      <c r="G30" s="2">
        <f>IF(B30&gt;0,(F30/B30)*100,0)</f>
        <v>261.53846153846155</v>
      </c>
    </row>
    <row r="31" spans="1:7">
      <c r="A31" t="s">
        <v>29</v>
      </c>
      <c r="B31">
        <v>610</v>
      </c>
      <c r="C31">
        <v>1480</v>
      </c>
      <c r="D31">
        <f>C31*6%</f>
        <v>88.8</v>
      </c>
      <c r="E31">
        <f>C31-D31</f>
        <v>1391.2</v>
      </c>
      <c r="F31">
        <f>E31-B31</f>
        <v>781.2</v>
      </c>
      <c r="G31" s="2">
        <f>IF(B31&gt;0,(F31/B31)*100,0)</f>
        <v>128.06557377049182</v>
      </c>
    </row>
    <row r="32" spans="1:7">
      <c r="A32" t="s">
        <v>30</v>
      </c>
      <c r="B32">
        <v>470</v>
      </c>
      <c r="C32">
        <v>900</v>
      </c>
      <c r="D32">
        <f>C32*6%</f>
        <v>54</v>
      </c>
      <c r="E32">
        <f>C32-D32</f>
        <v>846</v>
      </c>
      <c r="F32">
        <f>E32-B32</f>
        <v>376</v>
      </c>
      <c r="G32">
        <f>IF(B32&gt;0,(F32/B32)*100,0)</f>
        <v>80</v>
      </c>
    </row>
    <row r="33" spans="1:7">
      <c r="A33" t="s">
        <v>31</v>
      </c>
      <c r="B33">
        <v>350</v>
      </c>
      <c r="C33">
        <v>450</v>
      </c>
      <c r="D33">
        <f>C33*6%</f>
        <v>27</v>
      </c>
      <c r="E33">
        <f>C33-D33</f>
        <v>423</v>
      </c>
      <c r="F33">
        <f>E33-B33</f>
        <v>73</v>
      </c>
      <c r="G33" s="2">
        <f>IF(B33&gt;0,(F33/B33)*100,0)</f>
        <v>20.857142857142858</v>
      </c>
    </row>
    <row r="34" spans="1:7">
      <c r="A34" t="s">
        <v>32</v>
      </c>
      <c r="B34">
        <v>800</v>
      </c>
      <c r="C34">
        <v>950</v>
      </c>
      <c r="D34">
        <f>C34*6%</f>
        <v>57</v>
      </c>
      <c r="E34">
        <f>C34-D34</f>
        <v>893</v>
      </c>
      <c r="F34">
        <f>E34-B34</f>
        <v>93</v>
      </c>
      <c r="G34" s="2">
        <f>IF(B34&gt;0,(F34/B34)*100,0)</f>
        <v>11.625</v>
      </c>
    </row>
    <row r="35" spans="1:7">
      <c r="A35" s="3" t="s">
        <v>33</v>
      </c>
      <c r="B35">
        <v>350</v>
      </c>
      <c r="C35">
        <v>450</v>
      </c>
      <c r="D35">
        <f>C35*6%</f>
        <v>27</v>
      </c>
      <c r="E35">
        <f>C35-D35</f>
        <v>423</v>
      </c>
      <c r="F35">
        <f>E35-B35</f>
        <v>73</v>
      </c>
      <c r="G35" s="2">
        <f>IF(B35&gt;0,(F35/B35)*100,0)</f>
        <v>20.857142857142858</v>
      </c>
    </row>
    <row r="36" spans="1:7">
      <c r="A36" t="s">
        <v>34</v>
      </c>
      <c r="B36">
        <v>250</v>
      </c>
      <c r="C36">
        <v>430</v>
      </c>
      <c r="D36">
        <f>C36*6%</f>
        <v>25.8</v>
      </c>
      <c r="E36">
        <f>C36-D36</f>
        <v>404.2</v>
      </c>
      <c r="F36">
        <f>E36-B36</f>
        <v>154.19999999999999</v>
      </c>
      <c r="G36" s="2">
        <f>IF(B36&gt;0,(F36/B36)*100,0)</f>
        <v>61.679999999999993</v>
      </c>
    </row>
    <row r="37" spans="1:7">
      <c r="A37" t="s">
        <v>35</v>
      </c>
      <c r="B37">
        <v>52</v>
      </c>
      <c r="C37">
        <v>98</v>
      </c>
      <c r="D37">
        <f>C37*6%</f>
        <v>5.88</v>
      </c>
      <c r="E37">
        <f>C37-D37</f>
        <v>92.12</v>
      </c>
      <c r="F37">
        <f>E37-B37</f>
        <v>40.120000000000005</v>
      </c>
      <c r="G37" s="2">
        <f>IF(B37&gt;0,(F37/B37)*100,0)</f>
        <v>77.15384615384616</v>
      </c>
    </row>
    <row r="38" spans="1:7">
      <c r="A38" t="s">
        <v>36</v>
      </c>
      <c r="B38">
        <v>85</v>
      </c>
      <c r="C38">
        <v>100</v>
      </c>
      <c r="D38">
        <f>C38*6%</f>
        <v>6</v>
      </c>
      <c r="E38">
        <f>C38-D38</f>
        <v>94</v>
      </c>
      <c r="F38">
        <f>E38-B38</f>
        <v>9</v>
      </c>
      <c r="G38" s="2">
        <f>IF(B38&gt;0,(F38/B38)*100,0)</f>
        <v>10.588235294117647</v>
      </c>
    </row>
    <row r="39" spans="1:7">
      <c r="A39" t="s">
        <v>37</v>
      </c>
      <c r="B39">
        <v>96</v>
      </c>
      <c r="C39">
        <v>130</v>
      </c>
      <c r="D39">
        <f>C39*6%</f>
        <v>7.8</v>
      </c>
      <c r="E39">
        <f>C39-D39</f>
        <v>122.2</v>
      </c>
      <c r="F39">
        <f>E39-B39</f>
        <v>26.200000000000003</v>
      </c>
      <c r="G39" s="2">
        <f>IF(B39&gt;0,(F39/B39)*100,0)</f>
        <v>27.291666666666671</v>
      </c>
    </row>
    <row r="40" spans="1:7">
      <c r="A40" t="s">
        <v>38</v>
      </c>
      <c r="B40">
        <v>44</v>
      </c>
      <c r="C40">
        <v>67</v>
      </c>
      <c r="D40">
        <f>C40*6%</f>
        <v>4.0199999999999996</v>
      </c>
      <c r="E40">
        <f>C40-D40</f>
        <v>62.980000000000004</v>
      </c>
      <c r="F40">
        <f>E40-B40</f>
        <v>18.980000000000004</v>
      </c>
      <c r="G40" s="2">
        <f>IF(B40&gt;0,(F40/B40)*100,0)</f>
        <v>43.136363636363647</v>
      </c>
    </row>
    <row r="41" spans="1:7">
      <c r="A41" t="s">
        <v>39</v>
      </c>
      <c r="B41">
        <v>54</v>
      </c>
      <c r="C41">
        <v>76</v>
      </c>
      <c r="D41">
        <f>C41*6%</f>
        <v>4.5599999999999996</v>
      </c>
      <c r="E41">
        <f>C41-D41</f>
        <v>71.44</v>
      </c>
      <c r="F41">
        <f>E41-B41</f>
        <v>17.439999999999998</v>
      </c>
      <c r="G41" s="2">
        <f>IF(B41&gt;0,(F41/B41)*100,0)</f>
        <v>32.296296296296291</v>
      </c>
    </row>
    <row r="42" spans="1:7">
      <c r="A42" t="s">
        <v>26</v>
      </c>
      <c r="B42">
        <v>600</v>
      </c>
      <c r="C42">
        <v>800</v>
      </c>
      <c r="D42">
        <f>C42*6%</f>
        <v>48</v>
      </c>
      <c r="E42">
        <f>C42-D42</f>
        <v>752</v>
      </c>
      <c r="F42">
        <f>E42-B42</f>
        <v>152</v>
      </c>
      <c r="G42" s="2">
        <f>IF(B42&gt;0,(F42/B42)*100,0)</f>
        <v>25.333333333333336</v>
      </c>
    </row>
    <row r="43" spans="1:7">
      <c r="A43" t="s">
        <v>40</v>
      </c>
      <c r="B43">
        <v>240</v>
      </c>
      <c r="C43">
        <v>300</v>
      </c>
      <c r="D43">
        <f>C43*6%</f>
        <v>18</v>
      </c>
      <c r="E43">
        <f>C43-D43</f>
        <v>282</v>
      </c>
      <c r="F43">
        <f>E43-B43</f>
        <v>42</v>
      </c>
      <c r="G43" s="2">
        <f>IF(B43&gt;0,(F43/B43)*100,0)</f>
        <v>17.5</v>
      </c>
    </row>
    <row r="44" spans="1:7">
      <c r="A44" t="s">
        <v>41</v>
      </c>
      <c r="B44">
        <v>41</v>
      </c>
      <c r="C44">
        <v>73</v>
      </c>
      <c r="D44">
        <f>C44*6%</f>
        <v>4.38</v>
      </c>
      <c r="E44">
        <f>C44-D44</f>
        <v>68.62</v>
      </c>
      <c r="F44">
        <f>E44-B44</f>
        <v>27.620000000000005</v>
      </c>
      <c r="G44" s="2">
        <f>IF(B44&gt;0,(F44/B44)*100,0)</f>
        <v>67.365853658536594</v>
      </c>
    </row>
    <row r="45" spans="1:7">
      <c r="A45" t="s">
        <v>42</v>
      </c>
      <c r="B45">
        <v>2800</v>
      </c>
      <c r="C45">
        <v>3400</v>
      </c>
      <c r="D45">
        <f>C45*6%</f>
        <v>204</v>
      </c>
      <c r="E45">
        <f>C45-D45</f>
        <v>3196</v>
      </c>
      <c r="F45">
        <f>E45-B45</f>
        <v>396</v>
      </c>
      <c r="G45" s="2">
        <f>IF(B45&gt;0,(F45/B45)*100,0)</f>
        <v>14.142857142857142</v>
      </c>
    </row>
    <row r="46" spans="1:7">
      <c r="A46" t="s">
        <v>43</v>
      </c>
      <c r="B46">
        <v>1170</v>
      </c>
      <c r="C46">
        <v>1800</v>
      </c>
      <c r="D46">
        <f>C46*6%</f>
        <v>108</v>
      </c>
      <c r="E46">
        <f>C46-D46</f>
        <v>1692</v>
      </c>
      <c r="F46">
        <f>E46-B46</f>
        <v>522</v>
      </c>
      <c r="G46" s="2">
        <f>IF(B46&gt;0,(F46/B46)*100,0)</f>
        <v>44.61538461538462</v>
      </c>
    </row>
    <row r="47" spans="1:7">
      <c r="A47" t="s">
        <v>44</v>
      </c>
      <c r="B47">
        <v>670</v>
      </c>
      <c r="C47">
        <v>800</v>
      </c>
      <c r="D47">
        <f>C47*6%</f>
        <v>48</v>
      </c>
      <c r="E47">
        <f>C47-D47</f>
        <v>752</v>
      </c>
      <c r="F47">
        <f>E47-B47</f>
        <v>82</v>
      </c>
      <c r="G47" s="2">
        <f>IF(B47&gt;0,(F47/B47)*100,0)</f>
        <v>12.238805970149254</v>
      </c>
    </row>
    <row r="48" spans="1:7">
      <c r="A48" t="s">
        <v>45</v>
      </c>
      <c r="B48">
        <v>840</v>
      </c>
      <c r="C48">
        <v>950</v>
      </c>
      <c r="D48">
        <f>C48*6%</f>
        <v>57</v>
      </c>
      <c r="E48">
        <f>C48-D48</f>
        <v>893</v>
      </c>
      <c r="F48">
        <f>E48-B48</f>
        <v>53</v>
      </c>
      <c r="G48" s="7">
        <f>IF(B48&gt;0,(F48/B48)*100,0)</f>
        <v>6.3095238095238093</v>
      </c>
    </row>
    <row r="49" spans="1:13">
      <c r="A49" t="s">
        <v>46</v>
      </c>
      <c r="B49">
        <v>2600</v>
      </c>
      <c r="C49">
        <v>2815</v>
      </c>
      <c r="D49">
        <f>C49*6%</f>
        <v>168.9</v>
      </c>
      <c r="E49">
        <f>C49-D49</f>
        <v>2646.1</v>
      </c>
      <c r="F49">
        <f>E49-B49</f>
        <v>46.099999999999909</v>
      </c>
      <c r="G49" s="2">
        <f>IF(B49&gt;0,(F49/B49)*100,0)</f>
        <v>1.7730769230769197</v>
      </c>
    </row>
    <row r="50" spans="1:13">
      <c r="A50" t="s">
        <v>45</v>
      </c>
      <c r="B50">
        <v>800</v>
      </c>
      <c r="C50">
        <v>900</v>
      </c>
      <c r="D50">
        <f>C50*6%</f>
        <v>54</v>
      </c>
      <c r="E50">
        <f>C50-D50</f>
        <v>846</v>
      </c>
      <c r="F50">
        <f>E50-B50</f>
        <v>46</v>
      </c>
      <c r="G50" s="2">
        <f>IF(B50&gt;0,(F50/B50)*100,0)</f>
        <v>5.75</v>
      </c>
      <c r="L50" s="4"/>
      <c r="M50" s="5"/>
    </row>
    <row r="51" spans="1:13">
      <c r="A51" t="s">
        <v>47</v>
      </c>
      <c r="B51">
        <v>250</v>
      </c>
      <c r="C51">
        <v>350</v>
      </c>
      <c r="D51">
        <f>C51*6%</f>
        <v>21</v>
      </c>
      <c r="E51">
        <f>C51-D51</f>
        <v>329</v>
      </c>
      <c r="F51">
        <f>E51-B51</f>
        <v>79</v>
      </c>
      <c r="G51" s="2">
        <f>IF(B51&gt;0,(F51/B51)*100,0)</f>
        <v>31.6</v>
      </c>
    </row>
    <row r="52" spans="1:13">
      <c r="A52" t="s">
        <v>48</v>
      </c>
      <c r="B52">
        <v>42</v>
      </c>
      <c r="C52">
        <v>90</v>
      </c>
      <c r="D52">
        <f>C52*6%</f>
        <v>5.3999999999999995</v>
      </c>
      <c r="E52">
        <f>C52-D52</f>
        <v>84.6</v>
      </c>
      <c r="F52">
        <f>E52-B52</f>
        <v>42.599999999999994</v>
      </c>
      <c r="G52" s="8">
        <f>IF(B52&gt;0,(F52/B52)*100,0)</f>
        <v>101.42857142857142</v>
      </c>
    </row>
    <row r="53" spans="1:13">
      <c r="A53" t="s">
        <v>49</v>
      </c>
      <c r="B53">
        <v>17</v>
      </c>
      <c r="C53">
        <v>50</v>
      </c>
      <c r="D53">
        <f>C53*6%</f>
        <v>3</v>
      </c>
      <c r="E53">
        <f>C53-D53</f>
        <v>47</v>
      </c>
      <c r="F53">
        <f>E53-B53</f>
        <v>30</v>
      </c>
      <c r="G53" s="2">
        <f>IF(B53&gt;0,(F53/B53)*100,0)</f>
        <v>176.47058823529412</v>
      </c>
    </row>
    <row r="54" spans="1:13">
      <c r="A54" t="s">
        <v>50</v>
      </c>
      <c r="B54">
        <v>100</v>
      </c>
      <c r="C54">
        <v>200</v>
      </c>
      <c r="D54">
        <f>C54*6%</f>
        <v>12</v>
      </c>
      <c r="E54">
        <f>C54-D54</f>
        <v>188</v>
      </c>
      <c r="F54">
        <f>E54-B54</f>
        <v>88</v>
      </c>
      <c r="G54">
        <f>IF(B54&gt;0,(F54/B54)*100,0)</f>
        <v>88</v>
      </c>
    </row>
    <row r="55" spans="1:13">
      <c r="A55" t="s">
        <v>17</v>
      </c>
      <c r="B55">
        <v>750</v>
      </c>
      <c r="C55">
        <v>845</v>
      </c>
      <c r="D55">
        <f>C55*6%</f>
        <v>50.699999999999996</v>
      </c>
      <c r="E55">
        <f>C55-D55</f>
        <v>794.3</v>
      </c>
      <c r="F55">
        <f>E55-B55</f>
        <v>44.299999999999955</v>
      </c>
      <c r="G55" s="2">
        <f>IF(B55&gt;0,(F55/B55)*100,0)</f>
        <v>5.906666666666661</v>
      </c>
    </row>
    <row r="56" spans="1:13">
      <c r="A56" t="s">
        <v>51</v>
      </c>
      <c r="B56">
        <v>350</v>
      </c>
      <c r="C56">
        <v>525</v>
      </c>
      <c r="D56">
        <f>C56*6%</f>
        <v>31.5</v>
      </c>
      <c r="E56">
        <f>C56-D56</f>
        <v>493.5</v>
      </c>
      <c r="F56">
        <f>E56-B56</f>
        <v>143.5</v>
      </c>
      <c r="G56">
        <f>IF(B56&gt;0,(F56/B56)*100,0)</f>
        <v>41</v>
      </c>
    </row>
    <row r="57" spans="1:13">
      <c r="A57" t="s">
        <v>52</v>
      </c>
      <c r="B57">
        <v>133</v>
      </c>
      <c r="C57">
        <v>180</v>
      </c>
      <c r="D57">
        <f>C57*6%</f>
        <v>10.799999999999999</v>
      </c>
      <c r="E57">
        <f>C57-D57</f>
        <v>169.2</v>
      </c>
      <c r="F57">
        <f>E57-B57</f>
        <v>36.199999999999989</v>
      </c>
      <c r="G57" s="2">
        <f>IF(B57&gt;0,(F57/B57)*100,0)</f>
        <v>27.218045112781947</v>
      </c>
    </row>
    <row r="58" spans="1:13">
      <c r="A58" t="s">
        <v>53</v>
      </c>
      <c r="B58">
        <v>190</v>
      </c>
      <c r="C58">
        <v>262</v>
      </c>
      <c r="D58">
        <f>C58*6%</f>
        <v>15.719999999999999</v>
      </c>
      <c r="E58">
        <f>C58-D58</f>
        <v>246.28</v>
      </c>
      <c r="F58">
        <f>E58-B58</f>
        <v>56.28</v>
      </c>
      <c r="G58" s="2">
        <f>IF(B58&gt;0,(F58/B58)*100,0)</f>
        <v>29.621052631578948</v>
      </c>
    </row>
    <row r="59" spans="1:13">
      <c r="A59" t="s">
        <v>44</v>
      </c>
      <c r="B59">
        <v>550</v>
      </c>
      <c r="C59">
        <v>700</v>
      </c>
      <c r="D59">
        <f>C59*6%</f>
        <v>42</v>
      </c>
      <c r="E59">
        <f>C59-D59</f>
        <v>658</v>
      </c>
      <c r="F59">
        <f>E59-B59</f>
        <v>108</v>
      </c>
      <c r="G59" s="2">
        <f>IF(B59&gt;0,(F59/B59)*100,0)</f>
        <v>19.636363636363637</v>
      </c>
    </row>
    <row r="60" spans="1:13">
      <c r="A60" t="s">
        <v>54</v>
      </c>
      <c r="B60">
        <v>800</v>
      </c>
      <c r="C60">
        <v>950</v>
      </c>
      <c r="D60">
        <f>C60*6%</f>
        <v>57</v>
      </c>
      <c r="E60">
        <f>C60-D60</f>
        <v>893</v>
      </c>
      <c r="F60">
        <f>E60-B60</f>
        <v>93</v>
      </c>
      <c r="G60" s="2">
        <f>IF(B60&gt;0,(F60/B60)*100,0)</f>
        <v>11.625</v>
      </c>
    </row>
    <row r="61" spans="1:13">
      <c r="A61" t="s">
        <v>55</v>
      </c>
      <c r="B61">
        <v>1800</v>
      </c>
      <c r="C61">
        <v>2030</v>
      </c>
      <c r="D61">
        <f>C61*6%</f>
        <v>121.8</v>
      </c>
      <c r="E61">
        <f>C61-D61</f>
        <v>1908.2</v>
      </c>
      <c r="F61">
        <f>E61-B61</f>
        <v>108.20000000000005</v>
      </c>
      <c r="G61" s="2">
        <f>IF(B61&gt;0,(F61/B61)*100,0)</f>
        <v>6.0111111111111137</v>
      </c>
    </row>
    <row r="62" spans="1:13">
      <c r="A62" t="s">
        <v>56</v>
      </c>
      <c r="B62">
        <v>650</v>
      </c>
      <c r="C62">
        <v>720</v>
      </c>
      <c r="D62">
        <f>C62*6%</f>
        <v>43.199999999999996</v>
      </c>
      <c r="E62">
        <f>C62-D62</f>
        <v>676.8</v>
      </c>
      <c r="F62">
        <f>E62-B62</f>
        <v>26.799999999999955</v>
      </c>
      <c r="G62" s="2">
        <f>IF(B62&gt;0,(F62/B62)*100,0)</f>
        <v>4.1230769230769164</v>
      </c>
    </row>
    <row r="63" spans="1:13">
      <c r="A63" t="s">
        <v>57</v>
      </c>
      <c r="B63">
        <v>400</v>
      </c>
      <c r="C63">
        <v>1250</v>
      </c>
      <c r="D63">
        <f>C63*6%</f>
        <v>75</v>
      </c>
      <c r="E63">
        <f>C63-D63</f>
        <v>1175</v>
      </c>
      <c r="F63">
        <f>E63-B63</f>
        <v>775</v>
      </c>
      <c r="G63" s="2">
        <f>IF(B63&gt;0,(F63/B63)*100,0)</f>
        <v>193.75</v>
      </c>
    </row>
    <row r="64" spans="1:13">
      <c r="A64" t="s">
        <v>58</v>
      </c>
      <c r="B64">
        <v>315</v>
      </c>
      <c r="C64">
        <v>400</v>
      </c>
      <c r="D64">
        <f>C64*6%</f>
        <v>24</v>
      </c>
      <c r="E64">
        <f>C64-D64</f>
        <v>376</v>
      </c>
      <c r="F64">
        <f>E64-B64</f>
        <v>61</v>
      </c>
      <c r="G64" s="2">
        <f>IF(B64&gt;0,(F64/B64)*100,0)</f>
        <v>19.365079365079367</v>
      </c>
    </row>
    <row r="65" spans="1:13">
      <c r="A65" t="s">
        <v>59</v>
      </c>
      <c r="B65">
        <v>800</v>
      </c>
      <c r="C65">
        <v>910</v>
      </c>
      <c r="D65">
        <f>C65*6%</f>
        <v>54.6</v>
      </c>
      <c r="E65">
        <f>C65-D65</f>
        <v>855.4</v>
      </c>
      <c r="F65">
        <f>E65-B65</f>
        <v>55.399999999999977</v>
      </c>
      <c r="G65" s="2">
        <f>IF(B65&gt;0,(F65/B65)*100,0)</f>
        <v>6.924999999999998</v>
      </c>
    </row>
    <row r="66" spans="1:13">
      <c r="A66" t="s">
        <v>60</v>
      </c>
      <c r="B66">
        <v>120</v>
      </c>
      <c r="C66">
        <v>370</v>
      </c>
      <c r="D66">
        <f>C66*6%</f>
        <v>22.2</v>
      </c>
      <c r="E66">
        <f>C66-D66</f>
        <v>347.8</v>
      </c>
      <c r="F66">
        <f>E66-B66</f>
        <v>227.8</v>
      </c>
      <c r="G66" s="2">
        <f>IF(B66&gt;0,(F66/B66)*100,0)</f>
        <v>189.83333333333334</v>
      </c>
    </row>
    <row r="67" spans="1:13">
      <c r="A67" t="s">
        <v>61</v>
      </c>
      <c r="B67">
        <v>2550</v>
      </c>
      <c r="C67">
        <v>2750</v>
      </c>
      <c r="D67">
        <f>C67*6%</f>
        <v>165</v>
      </c>
      <c r="E67">
        <f>C67-D67</f>
        <v>2585</v>
      </c>
      <c r="F67">
        <f>E67-B67</f>
        <v>35</v>
      </c>
      <c r="G67" s="7">
        <f>IF(B67&gt;0,(F67/B67)*100,0)</f>
        <v>1.3725490196078431</v>
      </c>
    </row>
    <row r="68" spans="1:13">
      <c r="A68" t="s">
        <v>62</v>
      </c>
      <c r="B68">
        <v>100</v>
      </c>
      <c r="C68">
        <v>200</v>
      </c>
      <c r="D68">
        <f>C68*6%</f>
        <v>12</v>
      </c>
      <c r="E68">
        <f>C68-D68</f>
        <v>188</v>
      </c>
      <c r="F68">
        <f>E68-B68</f>
        <v>88</v>
      </c>
      <c r="G68">
        <f>IF(B68&gt;0,(F68/B68)*100,0)</f>
        <v>88</v>
      </c>
    </row>
    <row r="69" spans="1:13">
      <c r="A69" t="s">
        <v>60</v>
      </c>
      <c r="B69">
        <v>400</v>
      </c>
      <c r="C69">
        <v>630</v>
      </c>
      <c r="D69">
        <f>C69*6%</f>
        <v>37.799999999999997</v>
      </c>
      <c r="E69">
        <f>C69-D69</f>
        <v>592.20000000000005</v>
      </c>
      <c r="F69">
        <f>E69-B69</f>
        <v>192.20000000000005</v>
      </c>
      <c r="G69" s="2">
        <f>IF(B69&gt;0,(F69/B69)*100,0)</f>
        <v>48.050000000000011</v>
      </c>
    </row>
    <row r="70" spans="1:13">
      <c r="A70" t="s">
        <v>63</v>
      </c>
      <c r="B70">
        <v>210</v>
      </c>
      <c r="C70">
        <v>250</v>
      </c>
      <c r="D70">
        <f>C70*6%</f>
        <v>15</v>
      </c>
      <c r="E70">
        <f>C70-D70</f>
        <v>235</v>
      </c>
      <c r="F70">
        <f>E70-B70</f>
        <v>25</v>
      </c>
      <c r="G70" s="2">
        <f>IF(B70&gt;0,(F70/B70)*100,0)</f>
        <v>11.904761904761903</v>
      </c>
    </row>
    <row r="71" spans="1:13">
      <c r="A71" t="s">
        <v>64</v>
      </c>
      <c r="B71">
        <v>670</v>
      </c>
      <c r="C71">
        <v>723</v>
      </c>
      <c r="D71">
        <f>C71*6%</f>
        <v>43.379999999999995</v>
      </c>
      <c r="E71">
        <f>C71-D71</f>
        <v>679.62</v>
      </c>
      <c r="F71">
        <f>E71-B71</f>
        <v>9.6200000000000045</v>
      </c>
      <c r="G71" s="7">
        <f>IF(B71&gt;0,(F71/B71)*100,0)</f>
        <v>1.4358208955223888</v>
      </c>
      <c r="L71" s="6" t="s">
        <v>65</v>
      </c>
      <c r="M71" s="6">
        <f>SUM(F2:F101)</f>
        <v>9072.8200000000015</v>
      </c>
    </row>
    <row r="72" spans="1:13">
      <c r="A72" t="s">
        <v>66</v>
      </c>
      <c r="B72">
        <v>820</v>
      </c>
      <c r="C72">
        <v>1250</v>
      </c>
      <c r="D72">
        <f>C72*6%</f>
        <v>75</v>
      </c>
      <c r="E72">
        <f>C72-D72</f>
        <v>1175</v>
      </c>
      <c r="F72">
        <f>E72-B72</f>
        <v>355</v>
      </c>
      <c r="G72" s="2">
        <f>IF(B72&gt;0,(F72/B72)*100,0)</f>
        <v>43.292682926829265</v>
      </c>
    </row>
    <row r="73" spans="1:13">
      <c r="A73" t="s">
        <v>67</v>
      </c>
      <c r="B73">
        <v>330</v>
      </c>
      <c r="C73">
        <v>390</v>
      </c>
      <c r="D73">
        <f>C73*6%</f>
        <v>23.4</v>
      </c>
      <c r="E73">
        <f>C73-D73</f>
        <v>366.6</v>
      </c>
      <c r="F73">
        <f>E73-B73</f>
        <v>36.600000000000023</v>
      </c>
      <c r="G73" s="2">
        <f>IF(B73&gt;0,(F73/B73)*100,0)</f>
        <v>11.090909090909099</v>
      </c>
    </row>
    <row r="74" spans="1:13">
      <c r="D74">
        <f>C74*6%</f>
        <v>0</v>
      </c>
      <c r="E74">
        <f>C74-D74</f>
        <v>0</v>
      </c>
      <c r="F74">
        <f>E74-B74</f>
        <v>0</v>
      </c>
      <c r="G74">
        <f>IF(B74&gt;0,(F74/B74)*100,0)</f>
        <v>0</v>
      </c>
    </row>
    <row r="75" spans="1:13">
      <c r="D75">
        <f>C75*6%</f>
        <v>0</v>
      </c>
      <c r="E75">
        <f>C75-D75</f>
        <v>0</v>
      </c>
      <c r="F75">
        <f>E75-B75</f>
        <v>0</v>
      </c>
      <c r="G75">
        <f>IF(B75&gt;0,(F75/B75)*100,0)</f>
        <v>0</v>
      </c>
    </row>
    <row r="76" spans="1:13">
      <c r="D76">
        <f>C76*6%</f>
        <v>0</v>
      </c>
      <c r="E76">
        <f>C76-D76</f>
        <v>0</v>
      </c>
      <c r="F76">
        <f>E76-B76</f>
        <v>0</v>
      </c>
      <c r="G76">
        <f>IF(B76&gt;0,(F76/B76)*100,0)</f>
        <v>0</v>
      </c>
    </row>
    <row r="77" spans="1:13">
      <c r="D77">
        <f>C77*6%</f>
        <v>0</v>
      </c>
      <c r="E77">
        <f>C77-D77</f>
        <v>0</v>
      </c>
      <c r="F77">
        <f>E77-B77</f>
        <v>0</v>
      </c>
      <c r="G77">
        <f>IF(B77&gt;0,(F77/B77)*100,0)</f>
        <v>0</v>
      </c>
    </row>
    <row r="78" spans="1:13">
      <c r="D78">
        <f>C78*6%</f>
        <v>0</v>
      </c>
      <c r="E78">
        <f>C78-D78</f>
        <v>0</v>
      </c>
      <c r="F78">
        <f>E78-B78</f>
        <v>0</v>
      </c>
      <c r="G78">
        <f>IF(B78&gt;0,(F78/B78)*100,0)</f>
        <v>0</v>
      </c>
    </row>
    <row r="79" spans="1:13">
      <c r="D79">
        <f>C79*6%</f>
        <v>0</v>
      </c>
      <c r="E79">
        <f>C79-D79</f>
        <v>0</v>
      </c>
      <c r="F79">
        <f>E79-B79</f>
        <v>0</v>
      </c>
      <c r="G79">
        <f>IF(B79&gt;0,(F79/B79)*100,0)</f>
        <v>0</v>
      </c>
    </row>
    <row r="80" spans="1:13">
      <c r="D80">
        <f>C80*6%</f>
        <v>0</v>
      </c>
      <c r="E80">
        <f>C80-D80</f>
        <v>0</v>
      </c>
      <c r="F80">
        <f>E80-B80</f>
        <v>0</v>
      </c>
      <c r="G80">
        <f>IF(B80&gt;0,(F80/B80)*100,0)</f>
        <v>0</v>
      </c>
    </row>
    <row r="81" spans="4:7">
      <c r="D81">
        <f>C81*6%</f>
        <v>0</v>
      </c>
      <c r="E81">
        <f>C81-D81</f>
        <v>0</v>
      </c>
      <c r="F81">
        <f>E81-B81</f>
        <v>0</v>
      </c>
      <c r="G81">
        <f>IF(B81&gt;0,(F81/B81)*100,0)</f>
        <v>0</v>
      </c>
    </row>
    <row r="82" spans="4:7">
      <c r="D82">
        <f>C82*6%</f>
        <v>0</v>
      </c>
      <c r="E82">
        <f>C82-D82</f>
        <v>0</v>
      </c>
      <c r="F82">
        <f>E82-B82</f>
        <v>0</v>
      </c>
      <c r="G82">
        <f>IF(B82&gt;0,(F82/B82)*100,0)</f>
        <v>0</v>
      </c>
    </row>
    <row r="83" spans="4:7">
      <c r="D83">
        <f>C83*6%</f>
        <v>0</v>
      </c>
      <c r="E83">
        <f>C83-D83</f>
        <v>0</v>
      </c>
      <c r="F83">
        <f>E83-B83</f>
        <v>0</v>
      </c>
      <c r="G83">
        <f>IF(B83&gt;0,(F83/B83)*100,0)</f>
        <v>0</v>
      </c>
    </row>
    <row r="84" spans="4:7">
      <c r="D84">
        <f>C84*6%</f>
        <v>0</v>
      </c>
      <c r="E84">
        <f>C84-D84</f>
        <v>0</v>
      </c>
      <c r="F84">
        <f>E84-B84</f>
        <v>0</v>
      </c>
      <c r="G84">
        <f>IF(B84&gt;0,(F84/B84)*100,0)</f>
        <v>0</v>
      </c>
    </row>
    <row r="85" spans="4:7">
      <c r="D85">
        <f>C85*6%</f>
        <v>0</v>
      </c>
      <c r="E85">
        <f>C85-D85</f>
        <v>0</v>
      </c>
      <c r="F85">
        <f>E85-B85</f>
        <v>0</v>
      </c>
      <c r="G85">
        <f>IF(B85&gt;0,(F85/B85)*100,0)</f>
        <v>0</v>
      </c>
    </row>
    <row r="86" spans="4:7">
      <c r="D86">
        <f>C86*6%</f>
        <v>0</v>
      </c>
      <c r="E86">
        <f>C86-D86</f>
        <v>0</v>
      </c>
      <c r="F86">
        <f>E86-B86</f>
        <v>0</v>
      </c>
      <c r="G86">
        <f>IF(B86&gt;0,(F86/B86)*100,0)</f>
        <v>0</v>
      </c>
    </row>
    <row r="87" spans="4:7">
      <c r="D87">
        <f>C87*6%</f>
        <v>0</v>
      </c>
      <c r="E87">
        <f>C87-D87</f>
        <v>0</v>
      </c>
      <c r="F87">
        <f>E87-B87</f>
        <v>0</v>
      </c>
      <c r="G87">
        <f>IF(B87&gt;0,(F87/B87)*100,0)</f>
        <v>0</v>
      </c>
    </row>
    <row r="88" spans="4:7">
      <c r="D88">
        <f>C88*6%</f>
        <v>0</v>
      </c>
      <c r="E88">
        <f>C88-D88</f>
        <v>0</v>
      </c>
      <c r="F88">
        <f>E88-B88</f>
        <v>0</v>
      </c>
      <c r="G88">
        <f>IF(B88&gt;0,(F88/B88)*100,0)</f>
        <v>0</v>
      </c>
    </row>
    <row r="89" spans="4:7">
      <c r="D89">
        <f>C89*6%</f>
        <v>0</v>
      </c>
      <c r="E89">
        <f>C89-D89</f>
        <v>0</v>
      </c>
      <c r="F89">
        <f>E89-B89</f>
        <v>0</v>
      </c>
      <c r="G89">
        <f>IF(B89&gt;0,(F89/B89)*100,0)</f>
        <v>0</v>
      </c>
    </row>
    <row r="90" spans="4:7">
      <c r="D90">
        <f>C90*6%</f>
        <v>0</v>
      </c>
      <c r="E90">
        <f>C90-D90</f>
        <v>0</v>
      </c>
      <c r="F90">
        <f>E90-B90</f>
        <v>0</v>
      </c>
      <c r="G90">
        <f>IF(B90&gt;0,(F90/B90)*100,0)</f>
        <v>0</v>
      </c>
    </row>
    <row r="91" spans="4:7">
      <c r="D91">
        <f>C91*6%</f>
        <v>0</v>
      </c>
      <c r="E91">
        <f>C91-D91</f>
        <v>0</v>
      </c>
      <c r="F91">
        <f>E91-B91</f>
        <v>0</v>
      </c>
      <c r="G91">
        <f>IF(B91&gt;0,(F91/B91)*100,0)</f>
        <v>0</v>
      </c>
    </row>
    <row r="92" spans="4:7">
      <c r="D92">
        <f>C92*6%</f>
        <v>0</v>
      </c>
      <c r="E92">
        <f>C92-D92</f>
        <v>0</v>
      </c>
      <c r="F92">
        <f>E92-B92</f>
        <v>0</v>
      </c>
      <c r="G92">
        <f>IF(B92&gt;0,(F92/B92)*100,0)</f>
        <v>0</v>
      </c>
    </row>
    <row r="93" spans="4:7">
      <c r="D93">
        <f>C93*6%</f>
        <v>0</v>
      </c>
      <c r="E93">
        <f>C93-D93</f>
        <v>0</v>
      </c>
      <c r="F93">
        <f>E93-B93</f>
        <v>0</v>
      </c>
      <c r="G93">
        <f>IF(B93&gt;0,(F93/B93)*100,0)</f>
        <v>0</v>
      </c>
    </row>
    <row r="94" spans="4:7">
      <c r="D94">
        <f>C94*6%</f>
        <v>0</v>
      </c>
      <c r="E94">
        <f>C94-D94</f>
        <v>0</v>
      </c>
      <c r="F94">
        <f>E94-B94</f>
        <v>0</v>
      </c>
      <c r="G94">
        <f>IF(B94&gt;0,(F94/B94)*100,0)</f>
        <v>0</v>
      </c>
    </row>
    <row r="95" spans="4:7">
      <c r="D95">
        <f>C95*6%</f>
        <v>0</v>
      </c>
      <c r="E95">
        <f>C95-D95</f>
        <v>0</v>
      </c>
      <c r="F95">
        <f>E95-B95</f>
        <v>0</v>
      </c>
      <c r="G95">
        <f>IF(B95&gt;0,(F95/B95)*100,0)</f>
        <v>0</v>
      </c>
    </row>
    <row r="96" spans="4:7">
      <c r="D96">
        <f>C96*6%</f>
        <v>0</v>
      </c>
      <c r="E96">
        <f>C96-D96</f>
        <v>0</v>
      </c>
      <c r="F96">
        <f>E96-B96</f>
        <v>0</v>
      </c>
      <c r="G96">
        <f>IF(B96&gt;0,(F96/B96)*100,0)</f>
        <v>0</v>
      </c>
    </row>
    <row r="97" spans="4:7">
      <c r="D97">
        <f>C97*6%</f>
        <v>0</v>
      </c>
      <c r="E97">
        <f>C97-D97</f>
        <v>0</v>
      </c>
      <c r="F97">
        <f>E97-B97</f>
        <v>0</v>
      </c>
      <c r="G97">
        <f>IF(B97&gt;0,(F97/B97)*100,0)</f>
        <v>0</v>
      </c>
    </row>
    <row r="98" spans="4:7">
      <c r="D98">
        <f>C98*6%</f>
        <v>0</v>
      </c>
      <c r="E98">
        <f>C98-D98</f>
        <v>0</v>
      </c>
      <c r="F98">
        <f>E98-B98</f>
        <v>0</v>
      </c>
      <c r="G98">
        <f>IF(B98&gt;0,(F98/B98)*100,0)</f>
        <v>0</v>
      </c>
    </row>
    <row r="99" spans="4:7">
      <c r="D99">
        <f>C99*6%</f>
        <v>0</v>
      </c>
      <c r="E99">
        <f>C99-D99</f>
        <v>0</v>
      </c>
      <c r="F99">
        <f>E99-B99</f>
        <v>0</v>
      </c>
      <c r="G99">
        <f>IF(B99&gt;0,(F99/B99)*100,0)</f>
        <v>0</v>
      </c>
    </row>
    <row r="100" spans="4:7">
      <c r="D100">
        <f>C100*6%</f>
        <v>0</v>
      </c>
      <c r="E100">
        <f>C100-D100</f>
        <v>0</v>
      </c>
      <c r="F100">
        <f>E100-B100</f>
        <v>0</v>
      </c>
      <c r="G100">
        <f>IF(B100&gt;0,(F100/B100)*100,0)</f>
        <v>0</v>
      </c>
    </row>
    <row r="101" spans="4:7">
      <c r="D101">
        <f>C101*6%</f>
        <v>0</v>
      </c>
      <c r="E101">
        <f>C101-D101</f>
        <v>0</v>
      </c>
      <c r="F101">
        <f>E101-B101</f>
        <v>0</v>
      </c>
      <c r="G101">
        <f>IF(B101&gt;0,(F101/B101)*100,0)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2025-10-24T17:52:04Z</dcterms:created>
  <dcterms:modified xsi:type="dcterms:W3CDTF">2026-03-19T21:25:20Z</dcterms:modified>
  <cp:category/>
  <cp:contentStatus/>
</cp:coreProperties>
</file>